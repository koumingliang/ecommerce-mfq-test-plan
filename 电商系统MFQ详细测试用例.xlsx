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总览" sheetId="1" state="visible" r:id="rId1"/>
    <sheet name="测试用例明细" sheetId="2" state="visible" r:id="rId2"/>
  </sheets>
  <definedNames>
    <definedName name="_xlnm._FilterDatabase" localSheetId="1" hidden="1">'测试用例明细'!$A$1:$J$61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color rgb="FFFFFFFF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4" customWidth="1" min="4" max="4"/>
  </cols>
  <sheetData>
    <row r="1" ht="26" customHeight="1">
      <c r="A1" s="1" t="inlineStr">
        <is>
          <t>电商系统 MFQ 测试用例总览</t>
        </is>
      </c>
    </row>
    <row r="3">
      <c r="A3" s="2" t="inlineStr">
        <is>
          <t>按 MFQ 层级分布</t>
        </is>
      </c>
    </row>
    <row r="4">
      <c r="A4" s="3" t="inlineStr">
        <is>
          <t>分类</t>
        </is>
      </c>
      <c r="B4" s="3" t="inlineStr">
        <is>
          <t>用例数</t>
        </is>
      </c>
      <c r="C4" s="3" t="inlineStr">
        <is>
          <t>占比</t>
        </is>
      </c>
    </row>
    <row r="5">
      <c r="A5" s="4" t="inlineStr">
        <is>
          <t>M 模型层</t>
        </is>
      </c>
      <c r="B5" s="5">
        <f>COUNTIF(测试用例明细!B:B,"M")</f>
        <v>11.0</v>
      </c>
      <c r="C5" s="6">
        <f>IF($B$8=0,"",B5/$B$8)</f>
        <v>0.18333333333333332</v>
      </c>
    </row>
    <row r="6">
      <c r="A6" s="4" t="inlineStr">
        <is>
          <t>F 功能层</t>
        </is>
      </c>
      <c r="B6" s="5">
        <f>COUNTIF(测试用例明细!B:B,"F")</f>
        <v>32.0</v>
      </c>
      <c r="C6" s="6">
        <f>IF($B$8=0,"",B6/$B$8)</f>
        <v>0.5333333333333333</v>
      </c>
    </row>
    <row r="7">
      <c r="A7" s="4" t="inlineStr">
        <is>
          <t>Q 质量层</t>
        </is>
      </c>
      <c r="B7" s="5">
        <f>COUNTIF(测试用例明细!B:B,"Q")</f>
        <v>17.0</v>
      </c>
      <c r="C7" s="6">
        <f>IF($B$8=0,"",B7/$B$8)</f>
        <v>0.2833333333333333</v>
      </c>
    </row>
    <row r="8">
      <c r="A8" s="7" t="inlineStr">
        <is>
          <t>合计</t>
        </is>
      </c>
      <c r="B8" s="8">
        <f>SUM(B5:B7)</f>
        <v>60.0</v>
      </c>
      <c r="C8" s="6">
        <f>IF(B8=0,"",1)</f>
        <v>1.0</v>
      </c>
    </row>
    <row r="10">
      <c r="A10" s="2" t="inlineStr">
        <is>
          <t>按优先级分布</t>
        </is>
      </c>
    </row>
    <row r="11">
      <c r="A11" s="3" t="inlineStr">
        <is>
          <t>分类</t>
        </is>
      </c>
      <c r="B11" s="3" t="inlineStr">
        <is>
          <t>用例数</t>
        </is>
      </c>
      <c r="C11" s="3" t="inlineStr">
        <is>
          <t>占比</t>
        </is>
      </c>
    </row>
    <row r="12">
      <c r="A12" s="4" t="inlineStr">
        <is>
          <t>P0</t>
        </is>
      </c>
      <c r="B12" s="5">
        <f>COUNTIF(测试用例明细!E:E,"P0")</f>
        <v>30.0</v>
      </c>
      <c r="C12" s="6">
        <f>IF($B$15=0,"",B12/$B$15)</f>
        <v>0.5</v>
      </c>
    </row>
    <row r="13">
      <c r="A13" s="4" t="inlineStr">
        <is>
          <t>P1</t>
        </is>
      </c>
      <c r="B13" s="5">
        <f>COUNTIF(测试用例明细!E:E,"P1")</f>
        <v>28.0</v>
      </c>
      <c r="C13" s="6">
        <f>IF($B$15=0,"",B13/$B$15)</f>
        <v>0.4666666666666667</v>
      </c>
    </row>
    <row r="14">
      <c r="A14" s="4" t="inlineStr">
        <is>
          <t>P2</t>
        </is>
      </c>
      <c r="B14" s="5">
        <f>COUNTIF(测试用例明细!E:E,"P2")</f>
        <v>2.0</v>
      </c>
      <c r="C14" s="6">
        <f>IF($B$15=0,"",B14/$B$15)</f>
        <v>0.03333333333333333</v>
      </c>
    </row>
    <row r="15">
      <c r="A15" s="7" t="inlineStr">
        <is>
          <t>合计</t>
        </is>
      </c>
      <c r="B15" s="8">
        <f>SUM(B12:B14)</f>
        <v>60.0</v>
      </c>
      <c r="C15" s="6">
        <f>IF(B15=0,"",1)</f>
        <v>1.0</v>
      </c>
    </row>
    <row r="17">
      <c r="A17" s="2" t="inlineStr">
        <is>
          <t>按执行状态分布</t>
        </is>
      </c>
    </row>
    <row r="18">
      <c r="A18" s="3" t="inlineStr">
        <is>
          <t>分类</t>
        </is>
      </c>
      <c r="B18" s="3" t="inlineStr">
        <is>
          <t>用例数</t>
        </is>
      </c>
      <c r="C18" s="3" t="inlineStr">
        <is>
          <t>占比</t>
        </is>
      </c>
    </row>
    <row r="19">
      <c r="A19" s="4" t="inlineStr">
        <is>
          <t>未执行</t>
        </is>
      </c>
      <c r="B19" s="5">
        <f>COUNTIF(测试用例明细!I:I,"未执行")</f>
        <v>60.0</v>
      </c>
      <c r="C19" s="6">
        <f>IF($B$23=0,"",B19/$B$23)</f>
        <v>1.0</v>
      </c>
    </row>
    <row r="20">
      <c r="A20" s="4" t="inlineStr">
        <is>
          <t>通过</t>
        </is>
      </c>
      <c r="B20" s="5">
        <f>COUNTIF(测试用例明细!I:I,"通过")</f>
        <v>0.0</v>
      </c>
      <c r="C20" s="6">
        <f>IF($B$23=0,"",B20/$B$23)</f>
        <v>0.0</v>
      </c>
    </row>
    <row r="21">
      <c r="A21" s="4" t="inlineStr">
        <is>
          <t>失败</t>
        </is>
      </c>
      <c r="B21" s="5">
        <f>COUNTIF(测试用例明细!I:I,"失败")</f>
        <v>0.0</v>
      </c>
      <c r="C21" s="6">
        <f>IF($B$23=0,"",B21/$B$23)</f>
        <v>0.0</v>
      </c>
    </row>
    <row r="22">
      <c r="A22" s="4" t="inlineStr">
        <is>
          <t>阻塞</t>
        </is>
      </c>
      <c r="B22" s="5">
        <f>COUNTIF(测试用例明细!I:I,"阻塞")</f>
        <v>0.0</v>
      </c>
      <c r="C22" s="6">
        <f>IF($B$23=0,"",B22/$B$23)</f>
        <v>0.0</v>
      </c>
    </row>
    <row r="23">
      <c r="A23" s="7" t="inlineStr">
        <is>
          <t>合计</t>
        </is>
      </c>
      <c r="B23" s="8">
        <f>SUM(B19:B22)</f>
        <v>60.0</v>
      </c>
      <c r="C23" s="6">
        <f>IF(B23=0,"",1)</f>
        <v>1.0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30" customWidth="1" min="4" max="4"/>
    <col width="8" customWidth="1" min="5" max="5"/>
    <col width="32" customWidth="1" min="6" max="6"/>
    <col width="42" customWidth="1" min="7" max="7"/>
    <col width="42" customWidth="1" min="8" max="8"/>
    <col width="10" customWidth="1" min="9" max="9"/>
    <col width="16" customWidth="1" min="10" max="10"/>
  </cols>
  <sheetData>
    <row r="1">
      <c r="A1" s="3" t="inlineStr">
        <is>
          <t>用例编号</t>
        </is>
      </c>
      <c r="B1" s="3" t="inlineStr">
        <is>
          <t>所属层级(M/F/Q)</t>
        </is>
      </c>
      <c r="C1" s="3" t="inlineStr">
        <is>
          <t>子模块</t>
        </is>
      </c>
      <c r="D1" s="3" t="inlineStr">
        <is>
          <t>用例标题</t>
        </is>
      </c>
      <c r="E1" s="3" t="inlineStr">
        <is>
          <t>优先级</t>
        </is>
      </c>
      <c r="F1" s="3" t="inlineStr">
        <is>
          <t>前置条件</t>
        </is>
      </c>
      <c r="G1" s="3" t="inlineStr">
        <is>
          <t>操作步骤</t>
        </is>
      </c>
      <c r="H1" s="3" t="inlineStr">
        <is>
          <t>预期结果</t>
        </is>
      </c>
      <c r="I1" s="3" t="inlineStr">
        <is>
          <t>执行状态</t>
        </is>
      </c>
      <c r="J1" s="3" t="inlineStr">
        <is>
          <t>备注</t>
        </is>
      </c>
    </row>
    <row r="2">
      <c r="A2" s="5" t="inlineStr">
        <is>
          <t>TC-F01-001</t>
        </is>
      </c>
      <c r="B2" s="5" t="inlineStr">
        <is>
          <t>F</t>
        </is>
      </c>
      <c r="C2" s="9" t="inlineStr">
        <is>
          <t>核心正向流程</t>
        </is>
      </c>
      <c r="D2" s="9" t="inlineStr">
        <is>
          <t>正常SKU下单成功</t>
        </is>
      </c>
      <c r="E2" s="5" t="inlineStr">
        <is>
          <t>P0</t>
        </is>
      </c>
      <c r="F2" s="9" t="inlineStr">
        <is>
          <t>SKU-A 可用库存为100；用户已登录</t>
        </is>
      </c>
      <c r="G2" s="9" t="inlineStr">
        <is>
          <t>1.搜索SKU-A加入购物车；2.提交订单；3.查询订单详情与库存接口</t>
        </is>
      </c>
      <c r="H2" s="9" t="inlineStr">
        <is>
          <t>下单成功生成订单号；SKU-A可用库存99、预占库存1；订单状态为待支付</t>
        </is>
      </c>
      <c r="I2" s="5" t="inlineStr">
        <is>
          <t>未执行</t>
        </is>
      </c>
      <c r="J2" s="9" t="inlineStr"/>
    </row>
    <row r="3">
      <c r="A3" s="5" t="inlineStr">
        <is>
          <t>TC-F01-002</t>
        </is>
      </c>
      <c r="B3" s="5" t="inlineStr">
        <is>
          <t>F</t>
        </is>
      </c>
      <c r="C3" s="9" t="inlineStr">
        <is>
          <t>核心正向流程</t>
        </is>
      </c>
      <c r="D3" s="9" t="inlineStr">
        <is>
          <t>限购SKU超限下单被拒</t>
        </is>
      </c>
      <c r="E3" s="5" t="inlineStr">
        <is>
          <t>P1</t>
        </is>
      </c>
      <c r="F3" s="9" t="inlineStr">
        <is>
          <t>SKU-B 限购2件，用户已购1件</t>
        </is>
      </c>
      <c r="G3" s="9" t="inlineStr">
        <is>
          <t>1.再次购买2件SKU-B提交订单；2.检查接口返回</t>
        </is>
      </c>
      <c r="H3" s="9" t="inlineStr">
        <is>
          <t>下单被拒，返回限购错误码；库存数据无变化</t>
        </is>
      </c>
      <c r="I3" s="5" t="inlineStr">
        <is>
          <t>未执行</t>
        </is>
      </c>
      <c r="J3" s="9" t="inlineStr"/>
    </row>
    <row r="4">
      <c r="A4" s="5" t="inlineStr">
        <is>
          <t>TC-F01-003</t>
        </is>
      </c>
      <c r="B4" s="5" t="inlineStr">
        <is>
          <t>F</t>
        </is>
      </c>
      <c r="C4" s="9" t="inlineStr">
        <is>
          <t>核心正向流程</t>
        </is>
      </c>
      <c r="D4" s="9" t="inlineStr">
        <is>
          <t>优惠券叠加金额计算正确</t>
        </is>
      </c>
      <c r="E4" s="5" t="inlineStr">
        <is>
          <t>P1</t>
        </is>
      </c>
      <c r="F4" s="9" t="inlineStr">
        <is>
          <t>订单满100减20券可用，商品120元</t>
        </is>
      </c>
      <c r="G4" s="9" t="inlineStr">
        <is>
          <t>1.使用优惠券提交订单；2.核对订单应付金额</t>
        </is>
      </c>
      <c r="H4" s="9" t="inlineStr">
        <is>
          <t>应付金额=120-20=100元，明细金额与优惠分摊正确</t>
        </is>
      </c>
      <c r="I4" s="5" t="inlineStr">
        <is>
          <t>未执行</t>
        </is>
      </c>
      <c r="J4" s="9" t="inlineStr"/>
    </row>
    <row r="5">
      <c r="A5" s="5" t="inlineStr">
        <is>
          <t>TC-F01-004</t>
        </is>
      </c>
      <c r="B5" s="5" t="inlineStr">
        <is>
          <t>F</t>
        </is>
      </c>
      <c r="C5" s="9" t="inlineStr">
        <is>
          <t>核心正向流程</t>
        </is>
      </c>
      <c r="D5" s="9" t="inlineStr">
        <is>
          <t>支付成功回调后订单状态更新</t>
        </is>
      </c>
      <c r="E5" s="5" t="inlineStr">
        <is>
          <t>P0</t>
        </is>
      </c>
      <c r="F5" s="9" t="inlineStr">
        <is>
          <t>存在待支付订单</t>
        </is>
      </c>
      <c r="G5" s="9" t="inlineStr">
        <is>
          <t>1.完成支付；2.WMS收到支付成功回调；3.查询订单状态</t>
        </is>
      </c>
      <c r="H5" s="9" t="inlineStr">
        <is>
          <t>订单状态变为已支付待发货；库存预占转已售（预占-1、已售+1）</t>
        </is>
      </c>
      <c r="I5" s="5" t="inlineStr">
        <is>
          <t>未执行</t>
        </is>
      </c>
      <c r="J5" s="9" t="inlineStr"/>
    </row>
    <row r="6">
      <c r="A6" s="5" t="inlineStr">
        <is>
          <t>TC-F01-005</t>
        </is>
      </c>
      <c r="B6" s="5" t="inlineStr">
        <is>
          <t>F</t>
        </is>
      </c>
      <c r="C6" s="9" t="inlineStr">
        <is>
          <t>核心正向流程</t>
        </is>
      </c>
      <c r="D6" s="9" t="inlineStr">
        <is>
          <t>同一订单重复支付回调幂等</t>
        </is>
      </c>
      <c r="E6" s="5" t="inlineStr">
        <is>
          <t>P0</t>
        </is>
      </c>
      <c r="F6" s="9" t="inlineStr">
        <is>
          <t>订单已支付成功</t>
        </is>
      </c>
      <c r="G6" s="9" t="inlineStr">
        <is>
          <t>1.WMS重复推送同一条支付成功回调3次；2.查询订单状态与库存</t>
        </is>
      </c>
      <c r="H6" s="9" t="inlineStr">
        <is>
          <t>订单状态不重复变更；库存仅扣减一次；返回处理成功（幂等）</t>
        </is>
      </c>
      <c r="I6" s="5" t="inlineStr">
        <is>
          <t>未执行</t>
        </is>
      </c>
      <c r="J6" s="9" t="inlineStr"/>
    </row>
    <row r="7">
      <c r="A7" s="5" t="inlineStr">
        <is>
          <t>TC-F01-006</t>
        </is>
      </c>
      <c r="B7" s="5" t="inlineStr">
        <is>
          <t>F</t>
        </is>
      </c>
      <c r="C7" s="9" t="inlineStr">
        <is>
          <t>核心正向流程</t>
        </is>
      </c>
      <c r="D7" s="9" t="inlineStr">
        <is>
          <t>回调金额与订单金额不一致被拒</t>
        </is>
      </c>
      <c r="E7" s="5" t="inlineStr">
        <is>
          <t>P0</t>
        </is>
      </c>
      <c r="F7" s="9" t="inlineStr">
        <is>
          <t>订单应付100元</t>
        </is>
      </c>
      <c r="G7" s="9" t="inlineStr">
        <is>
          <t>1.推送金额为99元的支付成功回调；2.查询订单状态</t>
        </is>
      </c>
      <c r="H7" s="9" t="inlineStr">
        <is>
          <t>回调被拒绝，返回金额不一致错误；订单仍为待支付；库存不变</t>
        </is>
      </c>
      <c r="I7" s="5" t="inlineStr">
        <is>
          <t>未执行</t>
        </is>
      </c>
      <c r="J7" s="9" t="inlineStr"/>
    </row>
    <row r="8">
      <c r="A8" s="5" t="inlineStr">
        <is>
          <t>TC-F01-007</t>
        </is>
      </c>
      <c r="B8" s="5" t="inlineStr">
        <is>
          <t>F</t>
        </is>
      </c>
      <c r="C8" s="9" t="inlineStr">
        <is>
          <t>核心正向流程</t>
        </is>
      </c>
      <c r="D8" s="9" t="inlineStr">
        <is>
          <t>WMS发货回传后订单变更为已发货</t>
        </is>
      </c>
      <c r="E8" s="5" t="inlineStr">
        <is>
          <t>P0</t>
        </is>
      </c>
      <c r="F8" s="9" t="inlineStr">
        <is>
          <t>订单已支付待发货；WMS已完成拣货</t>
        </is>
      </c>
      <c r="G8" s="9" t="inlineStr">
        <is>
          <t>1.WMS推送发货结果回调；2.查询订单状态与物流单号</t>
        </is>
      </c>
      <c r="H8" s="9" t="inlineStr">
        <is>
          <t>订单状态变为已发货；物流单号正确入库；回调ACK成功</t>
        </is>
      </c>
      <c r="I8" s="5" t="inlineStr">
        <is>
          <t>未执行</t>
        </is>
      </c>
      <c r="J8" s="9" t="inlineStr"/>
    </row>
    <row r="9">
      <c r="A9" s="5" t="inlineStr">
        <is>
          <t>TC-F01-008</t>
        </is>
      </c>
      <c r="B9" s="5" t="inlineStr">
        <is>
          <t>F</t>
        </is>
      </c>
      <c r="C9" s="9" t="inlineStr">
        <is>
          <t>核心正向流程</t>
        </is>
      </c>
      <c r="D9" s="9" t="inlineStr">
        <is>
          <t>物流回调签收后订单完成</t>
        </is>
      </c>
      <c r="E9" s="5" t="inlineStr">
        <is>
          <t>P0</t>
        </is>
      </c>
      <c r="F9" s="9" t="inlineStr">
        <is>
          <t>订单已发货</t>
        </is>
      </c>
      <c r="G9" s="9" t="inlineStr">
        <is>
          <t>1.物流推送签收回调；2.查询订单状态</t>
        </is>
      </c>
      <c r="H9" s="9" t="inlineStr">
        <is>
          <t>订单状态变为已完成（已签收）</t>
        </is>
      </c>
      <c r="I9" s="5" t="inlineStr">
        <is>
          <t>未执行</t>
        </is>
      </c>
      <c r="J9" s="9" t="inlineStr"/>
    </row>
    <row r="10">
      <c r="A10" s="5" t="inlineStr">
        <is>
          <t>TC-F01-009</t>
        </is>
      </c>
      <c r="B10" s="5" t="inlineStr">
        <is>
          <t>F</t>
        </is>
      </c>
      <c r="C10" s="9" t="inlineStr">
        <is>
          <t>核心正向流程</t>
        </is>
      </c>
      <c r="D10" s="9" t="inlineStr">
        <is>
          <t>超期未签收自动签收</t>
        </is>
      </c>
      <c r="E10" s="5" t="inlineStr">
        <is>
          <t>P1</t>
        </is>
      </c>
      <c r="F10" s="9" t="inlineStr">
        <is>
          <t>订单发货后15天无物流回调</t>
        </is>
      </c>
      <c r="G10" s="9" t="inlineStr">
        <is>
          <t>1.触发自动签收定时任务；2.查询订单状态</t>
        </is>
      </c>
      <c r="H10" s="9" t="inlineStr">
        <is>
          <t>订单自动变更为已签收；写入自动签收操作日志</t>
        </is>
      </c>
      <c r="I10" s="5" t="inlineStr">
        <is>
          <t>未执行</t>
        </is>
      </c>
      <c r="J10" s="9" t="inlineStr"/>
    </row>
    <row r="11">
      <c r="A11" s="5" t="inlineStr">
        <is>
          <t>TC-M02-001</t>
        </is>
      </c>
      <c r="B11" s="5" t="inlineStr">
        <is>
          <t>M</t>
        </is>
      </c>
      <c r="C11" s="9" t="inlineStr">
        <is>
          <t>订单状态机</t>
        </is>
      </c>
      <c r="D11" s="9" t="inlineStr">
        <is>
          <t>待支付超时15分钟自动关单</t>
        </is>
      </c>
      <c r="E11" s="5" t="inlineStr">
        <is>
          <t>P0</t>
        </is>
      </c>
      <c r="F11" s="9" t="inlineStr">
        <is>
          <t>存在待支付订单，支付超时时间为15分钟</t>
        </is>
      </c>
      <c r="G11" s="9" t="inlineStr">
        <is>
          <t>1.等待/触发超时定时任务；2.查询订单状态与库存</t>
        </is>
      </c>
      <c r="H11" s="9" t="inlineStr">
        <is>
          <t>订单变为已关闭；预占库存回补可用（预占-1、可用+1）</t>
        </is>
      </c>
      <c r="I11" s="5" t="inlineStr">
        <is>
          <t>未执行</t>
        </is>
      </c>
      <c r="J11" s="9" t="inlineStr"/>
    </row>
    <row r="12">
      <c r="A12" s="5" t="inlineStr">
        <is>
          <t>TC-M02-002</t>
        </is>
      </c>
      <c r="B12" s="5" t="inlineStr">
        <is>
          <t>M</t>
        </is>
      </c>
      <c r="C12" s="9" t="inlineStr">
        <is>
          <t>订单状态机</t>
        </is>
      </c>
      <c r="D12" s="9" t="inlineStr">
        <is>
          <t>已关闭订单再次支付被拒</t>
        </is>
      </c>
      <c r="E12" s="5" t="inlineStr">
        <is>
          <t>P0</t>
        </is>
      </c>
      <c r="F12" s="9" t="inlineStr">
        <is>
          <t>订单状态为已关闭</t>
        </is>
      </c>
      <c r="G12" s="9" t="inlineStr">
        <is>
          <t>1.推送该订单支付成功回调</t>
        </is>
      </c>
      <c r="H12" s="9" t="inlineStr">
        <is>
          <t>回调被状态机拒绝；订单保持已关闭；触发差异告警</t>
        </is>
      </c>
      <c r="I12" s="5" t="inlineStr">
        <is>
          <t>未执行</t>
        </is>
      </c>
      <c r="J12" s="9" t="inlineStr"/>
    </row>
    <row r="13">
      <c r="A13" s="5" t="inlineStr">
        <is>
          <t>TC-M02-003</t>
        </is>
      </c>
      <c r="B13" s="5" t="inlineStr">
        <is>
          <t>M</t>
        </is>
      </c>
      <c r="C13" s="9" t="inlineStr">
        <is>
          <t>订单状态机</t>
        </is>
      </c>
      <c r="D13" s="9" t="inlineStr">
        <is>
          <t>已关闭订单不可触发发货</t>
        </is>
      </c>
      <c r="E13" s="5" t="inlineStr">
        <is>
          <t>P0</t>
        </is>
      </c>
      <c r="F13" s="9" t="inlineStr">
        <is>
          <t>订单状态为已关闭</t>
        </is>
      </c>
      <c r="G13" s="9" t="inlineStr">
        <is>
          <t>1.WMS推送发货回传</t>
        </is>
      </c>
      <c r="H13" s="9" t="inlineStr">
        <is>
          <t>状态机拒绝该流转；订单保持已关闭；回传消息进入死信/人工处理</t>
        </is>
      </c>
      <c r="I13" s="5" t="inlineStr">
        <is>
          <t>未执行</t>
        </is>
      </c>
      <c r="J13" s="9" t="inlineStr"/>
    </row>
    <row r="14">
      <c r="A14" s="5" t="inlineStr">
        <is>
          <t>TC-M02-004</t>
        </is>
      </c>
      <c r="B14" s="5" t="inlineStr">
        <is>
          <t>M</t>
        </is>
      </c>
      <c r="C14" s="9" t="inlineStr">
        <is>
          <t>订单状态机</t>
        </is>
      </c>
      <c r="D14" s="9" t="inlineStr">
        <is>
          <t>已签收订单7天内申请退货</t>
        </is>
      </c>
      <c r="E14" s="5" t="inlineStr">
        <is>
          <t>P1</t>
        </is>
      </c>
      <c r="F14" s="9" t="inlineStr">
        <is>
          <t>订单已签收3天，商品支持退货</t>
        </is>
      </c>
      <c r="G14" s="9" t="inlineStr">
        <is>
          <t>1.用户提交退货申请；2.查询订单状态</t>
        </is>
      </c>
      <c r="H14" s="9" t="inlineStr">
        <is>
          <t>订单进入退货中；生成退货单号</t>
        </is>
      </c>
      <c r="I14" s="5" t="inlineStr">
        <is>
          <t>未执行</t>
        </is>
      </c>
      <c r="J14" s="9" t="inlineStr"/>
    </row>
    <row r="15">
      <c r="A15" s="5" t="inlineStr">
        <is>
          <t>TC-M02-005</t>
        </is>
      </c>
      <c r="B15" s="5" t="inlineStr">
        <is>
          <t>M</t>
        </is>
      </c>
      <c r="C15" s="9" t="inlineStr">
        <is>
          <t>订单状态机</t>
        </is>
      </c>
      <c r="D15" s="9" t="inlineStr">
        <is>
          <t>非法状态流转全量遍历校验</t>
        </is>
      </c>
      <c r="E15" s="5" t="inlineStr">
        <is>
          <t>P1</t>
        </is>
      </c>
      <c r="F15" s="9" t="inlineStr">
        <is>
          <t>准备各状态订单样例（待支付/已支付/已发货/已签收/已关闭）</t>
        </is>
      </c>
      <c r="G15" s="9" t="inlineStr">
        <is>
          <t>1.对每个状态逐一发送非法事件（如待支付直接发货、已签收再发货等）；2.检查状态机行为</t>
        </is>
      </c>
      <c r="H15" s="9" t="inlineStr">
        <is>
          <t>所有非法流转均被拒绝，订单状态不变，记录非法流转日志</t>
        </is>
      </c>
      <c r="I15" s="5" t="inlineStr">
        <is>
          <t>未执行</t>
        </is>
      </c>
      <c r="J15" s="9" t="inlineStr"/>
    </row>
    <row r="16">
      <c r="A16" s="5" t="inlineStr">
        <is>
          <t>TC-M03-001</t>
        </is>
      </c>
      <c r="B16" s="5" t="inlineStr">
        <is>
          <t>M</t>
        </is>
      </c>
      <c r="C16" s="9" t="inlineStr">
        <is>
          <t>库存状态模型</t>
        </is>
      </c>
      <c r="D16" s="9" t="inlineStr">
        <is>
          <t>下单预占：可用-1、预占+1</t>
        </is>
      </c>
      <c r="E16" s="5" t="inlineStr">
        <is>
          <t>P0</t>
        </is>
      </c>
      <c r="F16" s="9" t="inlineStr">
        <is>
          <t>SKU-A 可用100、预占0、已售0</t>
        </is>
      </c>
      <c r="G16" s="9" t="inlineStr">
        <is>
          <t>1.成功下单1件SKU-A；2.查询库存三态数值</t>
        </is>
      </c>
      <c r="H16" s="9" t="inlineStr">
        <is>
          <t>可用=99、预占=1、已售=0；守恒式成立</t>
        </is>
      </c>
      <c r="I16" s="5" t="inlineStr">
        <is>
          <t>未执行</t>
        </is>
      </c>
      <c r="J16" s="9" t="inlineStr"/>
    </row>
    <row r="17">
      <c r="A17" s="5" t="inlineStr">
        <is>
          <t>TC-M03-002</t>
        </is>
      </c>
      <c r="B17" s="5" t="inlineStr">
        <is>
          <t>M</t>
        </is>
      </c>
      <c r="C17" s="9" t="inlineStr">
        <is>
          <t>库存状态模型</t>
        </is>
      </c>
      <c r="D17" s="9" t="inlineStr">
        <is>
          <t>支付扣减：预占-1、已售+1</t>
        </is>
      </c>
      <c r="E17" s="5" t="inlineStr">
        <is>
          <t>P0</t>
        </is>
      </c>
      <c r="F17" s="9" t="inlineStr">
        <is>
          <t>SKU-A 可用99、预占1</t>
        </is>
      </c>
      <c r="G17" s="9" t="inlineStr">
        <is>
          <t>1.完成支付；2.查询库存三态数值</t>
        </is>
      </c>
      <c r="H17" s="9" t="inlineStr">
        <is>
          <t>可用=99、预占=0、已售=1；守恒式成立</t>
        </is>
      </c>
      <c r="I17" s="5" t="inlineStr">
        <is>
          <t>未执行</t>
        </is>
      </c>
      <c r="J17" s="9" t="inlineStr"/>
    </row>
    <row r="18">
      <c r="A18" s="5" t="inlineStr">
        <is>
          <t>TC-M03-003</t>
        </is>
      </c>
      <c r="B18" s="5" t="inlineStr">
        <is>
          <t>M</t>
        </is>
      </c>
      <c r="C18" s="9" t="inlineStr">
        <is>
          <t>库存状态模型</t>
        </is>
      </c>
      <c r="D18" s="9" t="inlineStr">
        <is>
          <t>取消回补：预占-1、可用+1</t>
        </is>
      </c>
      <c r="E18" s="5" t="inlineStr">
        <is>
          <t>P0</t>
        </is>
      </c>
      <c r="F18" s="9" t="inlineStr">
        <is>
          <t>存在待支付订单已预占1件</t>
        </is>
      </c>
      <c r="G18" s="9" t="inlineStr">
        <is>
          <t>1.用户取消订单；2.查询库存三态数值</t>
        </is>
      </c>
      <c r="H18" s="9" t="inlineStr">
        <is>
          <t>可用回补至100、预占=0；守恒式成立</t>
        </is>
      </c>
      <c r="I18" s="5" t="inlineStr">
        <is>
          <t>未执行</t>
        </is>
      </c>
      <c r="J18" s="9" t="inlineStr"/>
    </row>
    <row r="19">
      <c r="A19" s="5" t="inlineStr">
        <is>
          <t>TC-M03-004</t>
        </is>
      </c>
      <c r="B19" s="5" t="inlineStr">
        <is>
          <t>M</t>
        </is>
      </c>
      <c r="C19" s="9" t="inlineStr">
        <is>
          <t>库存状态模型</t>
        </is>
      </c>
      <c r="D19" s="9" t="inlineStr">
        <is>
          <t>退货回补：已售-1、可用+1</t>
        </is>
      </c>
      <c r="E19" s="5" t="inlineStr">
        <is>
          <t>P1</t>
        </is>
      </c>
      <c r="F19" s="9" t="inlineStr">
        <is>
          <t>订单已签收且退货单已审核通过</t>
        </is>
      </c>
      <c r="G19" s="9" t="inlineStr">
        <is>
          <t>1.WMS推送退货入库回传；2.查询库存三态数值</t>
        </is>
      </c>
      <c r="H19" s="9" t="inlineStr">
        <is>
          <t>已售-1、可用+1；守恒式成立</t>
        </is>
      </c>
      <c r="I19" s="5" t="inlineStr">
        <is>
          <t>未执行</t>
        </is>
      </c>
      <c r="J19" s="9" t="inlineStr"/>
    </row>
    <row r="20">
      <c r="A20" s="5" t="inlineStr">
        <is>
          <t>TC-M03-005</t>
        </is>
      </c>
      <c r="B20" s="5" t="inlineStr">
        <is>
          <t>M</t>
        </is>
      </c>
      <c r="C20" s="9" t="inlineStr">
        <is>
          <t>库存状态模型</t>
        </is>
      </c>
      <c r="D20" s="9" t="inlineStr">
        <is>
          <t>库存守恒不变式全场景校验</t>
        </is>
      </c>
      <c r="E20" s="5" t="inlineStr">
        <is>
          <t>P0</t>
        </is>
      </c>
      <c r="F20" s="9" t="inlineStr">
        <is>
          <t>覆盖下单/支付/取消/发货/退货全场景</t>
        </is>
      </c>
      <c r="G20" s="9" t="inlineStr">
        <is>
          <t>1.每个场景操作后立即查询三态库存；2.校验 可用+预占+已售=总库存</t>
        </is>
      </c>
      <c r="H20" s="9" t="inlineStr">
        <is>
          <t>任意场景操作后守恒式恒成立，无库存丢失或凭空增加</t>
        </is>
      </c>
      <c r="I20" s="5" t="inlineStr">
        <is>
          <t>未执行</t>
        </is>
      </c>
      <c r="J20" s="9" t="inlineStr"/>
    </row>
    <row r="21">
      <c r="A21" s="5" t="inlineStr">
        <is>
          <t>TC-M03-006</t>
        </is>
      </c>
      <c r="B21" s="5" t="inlineStr">
        <is>
          <t>M</t>
        </is>
      </c>
      <c r="C21" s="9" t="inlineStr">
        <is>
          <t>库存状态模型</t>
        </is>
      </c>
      <c r="D21" s="9" t="inlineStr">
        <is>
          <t>各状态库存不可为负</t>
        </is>
      </c>
      <c r="E21" s="5" t="inlineStr">
        <is>
          <t>P0</t>
        </is>
      </c>
      <c r="F21" s="9" t="inlineStr">
        <is>
          <t>SKU库存为个位数</t>
        </is>
      </c>
      <c r="G21" s="9" t="inlineStr">
        <is>
          <t>1.并发下单至可用为0后继续下单；2.推送异常回补消息（如数量为负）</t>
        </is>
      </c>
      <c r="H21" s="9" t="inlineStr">
        <is>
          <t>任何操作后可用/预占/已售均&gt;=0；非法请求被拒绝</t>
        </is>
      </c>
      <c r="I21" s="5" t="inlineStr">
        <is>
          <t>未执行</t>
        </is>
      </c>
      <c r="J21" s="9" t="inlineStr"/>
    </row>
    <row r="22">
      <c r="A22" s="5" t="inlineStr">
        <is>
          <t>TC-F02-001</t>
        </is>
      </c>
      <c r="B22" s="5" t="inlineStr">
        <is>
          <t>F</t>
        </is>
      </c>
      <c r="C22" s="9" t="inlineStr">
        <is>
          <t>库存同步一致性</t>
        </is>
      </c>
      <c r="D22" s="9" t="inlineStr">
        <is>
          <t>预占成功返回全局唯一预占号</t>
        </is>
      </c>
      <c r="E22" s="5" t="inlineStr">
        <is>
          <t>P0</t>
        </is>
      </c>
      <c r="F22" s="9" t="inlineStr">
        <is>
          <t>SKU-A 可用库存充足</t>
        </is>
      </c>
      <c r="G22" s="9" t="inlineStr">
        <is>
          <t>1.下单成功；2.检查WMS预占响应</t>
        </is>
      </c>
      <c r="H22" s="9" t="inlineStr">
        <is>
          <t>返回预占号且全局唯一；库存预占成功</t>
        </is>
      </c>
      <c r="I22" s="5" t="inlineStr">
        <is>
          <t>未执行</t>
        </is>
      </c>
      <c r="J22" s="9" t="inlineStr"/>
    </row>
    <row r="23">
      <c r="A23" s="5" t="inlineStr">
        <is>
          <t>TC-F02-002</t>
        </is>
      </c>
      <c r="B23" s="5" t="inlineStr">
        <is>
          <t>F</t>
        </is>
      </c>
      <c r="C23" s="9" t="inlineStr">
        <is>
          <t>库存同步一致性</t>
        </is>
      </c>
      <c r="D23" s="9" t="inlineStr">
        <is>
          <t>库存不足预占失败无脏数据</t>
        </is>
      </c>
      <c r="E23" s="5" t="inlineStr">
        <is>
          <t>P0</t>
        </is>
      </c>
      <c r="F23" s="9" t="inlineStr">
        <is>
          <t>SKU-B 可用库存为0</t>
        </is>
      </c>
      <c r="G23" s="9" t="inlineStr">
        <is>
          <t>1.提交SKU-B订单；2.查询库存与订单列表</t>
        </is>
      </c>
      <c r="H23" s="9" t="inlineStr">
        <is>
          <t>下单失败返回库存不足错误码；未产生订单记录；库存三态无变化</t>
        </is>
      </c>
      <c r="I23" s="5" t="inlineStr">
        <is>
          <t>未执行</t>
        </is>
      </c>
      <c r="J23" s="9" t="inlineStr"/>
    </row>
    <row r="24">
      <c r="A24" s="5" t="inlineStr">
        <is>
          <t>TC-F02-003</t>
        </is>
      </c>
      <c r="B24" s="5" t="inlineStr">
        <is>
          <t>F</t>
        </is>
      </c>
      <c r="C24" s="9" t="inlineStr">
        <is>
          <t>库存同步一致性</t>
        </is>
      </c>
      <c r="D24" s="9" t="inlineStr">
        <is>
          <t>预占接口超时重试不重复预占</t>
        </is>
      </c>
      <c r="E24" s="5" t="inlineStr">
        <is>
          <t>P1</t>
        </is>
      </c>
      <c r="F24" s="9" t="inlineStr">
        <is>
          <t>模拟WMS预占接口延迟3秒响应</t>
        </is>
      </c>
      <c r="G24" s="9" t="inlineStr">
        <is>
          <t>1.发起下单触发预占超时重试；2.查询WMS侧预占记录</t>
        </is>
      </c>
      <c r="H24" s="9" t="inlineStr">
        <is>
          <t>同一请求ID仅预占一次；商城侧最终获知预占结果；无重复预占</t>
        </is>
      </c>
      <c r="I24" s="5" t="inlineStr">
        <is>
          <t>未执行</t>
        </is>
      </c>
      <c r="J24" s="9" t="inlineStr"/>
    </row>
    <row r="25">
      <c r="A25" s="5" t="inlineStr">
        <is>
          <t>TC-F02-004</t>
        </is>
      </c>
      <c r="B25" s="5" t="inlineStr">
        <is>
          <t>F</t>
        </is>
      </c>
      <c r="C25" s="9" t="inlineStr">
        <is>
          <t>库存同步一致性</t>
        </is>
      </c>
      <c r="D25" s="9" t="inlineStr">
        <is>
          <t>扣减失败订单不得发货</t>
        </is>
      </c>
      <c r="E25" s="5" t="inlineStr">
        <is>
          <t>P0</t>
        </is>
      </c>
      <c r="F25" s="9" t="inlineStr">
        <is>
          <t>模拟支付后扣减WMS返回失败</t>
        </is>
      </c>
      <c r="G25" s="9" t="inlineStr">
        <is>
          <t>1.完成支付触发扣减；2.检查订单与告警</t>
        </is>
      </c>
      <c r="H25" s="9" t="inlineStr">
        <is>
          <t>订单不进入待发货；触发扣减失败告警；订单进入人工处理队列</t>
        </is>
      </c>
      <c r="I25" s="5" t="inlineStr">
        <is>
          <t>未执行</t>
        </is>
      </c>
      <c r="J25" s="9" t="inlineStr"/>
    </row>
    <row r="26">
      <c r="A26" s="5" t="inlineStr">
        <is>
          <t>TC-F02-005</t>
        </is>
      </c>
      <c r="B26" s="5" t="inlineStr">
        <is>
          <t>F</t>
        </is>
      </c>
      <c r="C26" s="9" t="inlineStr">
        <is>
          <t>库存同步一致性</t>
        </is>
      </c>
      <c r="D26" s="9" t="inlineStr">
        <is>
          <t>重复回补消息幂等不超回</t>
        </is>
      </c>
      <c r="E26" s="5" t="inlineStr">
        <is>
          <t>P0</t>
        </is>
      </c>
      <c r="F26" s="9" t="inlineStr">
        <is>
          <t>订单已取消且回补完成（可用=100）</t>
        </is>
      </c>
      <c r="G26" s="9" t="inlineStr">
        <is>
          <t>1.重复推送同一回补消息3次；2.查询库存</t>
        </is>
      </c>
      <c r="H26" s="9" t="inlineStr">
        <is>
          <t>可用库存仍为100，不超回；消息标记为已处理（幂等）</t>
        </is>
      </c>
      <c r="I26" s="5" t="inlineStr">
        <is>
          <t>未执行</t>
        </is>
      </c>
      <c r="J26" s="9" t="inlineStr"/>
    </row>
    <row r="27">
      <c r="A27" s="5" t="inlineStr">
        <is>
          <t>TC-F02-006</t>
        </is>
      </c>
      <c r="B27" s="5" t="inlineStr">
        <is>
          <t>F</t>
        </is>
      </c>
      <c r="C27" s="9" t="inlineStr">
        <is>
          <t>库存同步一致性</t>
        </is>
      </c>
      <c r="D27" s="9" t="inlineStr">
        <is>
          <t>重复预占消息幂等</t>
        </is>
      </c>
      <c r="E27" s="5" t="inlineStr">
        <is>
          <t>P0</t>
        </is>
      </c>
      <c r="F27" s="9" t="inlineStr">
        <is>
          <t>预占已成功（预占=1）</t>
        </is>
      </c>
      <c r="G27" s="9" t="inlineStr">
        <is>
          <t>1.以同一请求ID重复推送预占消息3次；2.查询库存</t>
        </is>
      </c>
      <c r="H27" s="9" t="inlineStr">
        <is>
          <t>预占库存仍为1，不重复预占；返回首次预占号</t>
        </is>
      </c>
      <c r="I27" s="5" t="inlineStr">
        <is>
          <t>未执行</t>
        </is>
      </c>
      <c r="J27" s="9" t="inlineStr"/>
    </row>
    <row r="28">
      <c r="A28" s="5" t="inlineStr">
        <is>
          <t>TC-F02-007</t>
        </is>
      </c>
      <c r="B28" s="5" t="inlineStr">
        <is>
          <t>F</t>
        </is>
      </c>
      <c r="C28" s="9" t="inlineStr">
        <is>
          <t>库存同步一致性</t>
        </is>
      </c>
      <c r="D28" s="9" t="inlineStr">
        <is>
          <t>重复发货回调幂等</t>
        </is>
      </c>
      <c r="E28" s="5" t="inlineStr">
        <is>
          <t>P0</t>
        </is>
      </c>
      <c r="F28" s="9" t="inlineStr">
        <is>
          <t>订单已发货</t>
        </is>
      </c>
      <c r="G28" s="9" t="inlineStr">
        <is>
          <t>1.重复推送同一发货回调3次；2.查询订单状态与物流记录</t>
        </is>
      </c>
      <c r="H28" s="9" t="inlineStr">
        <is>
          <t>订单状态不重复变更；物流记录不重复；返回ACK成功</t>
        </is>
      </c>
      <c r="I28" s="5" t="inlineStr">
        <is>
          <t>未执行</t>
        </is>
      </c>
      <c r="J28" s="9" t="inlineStr"/>
    </row>
    <row r="29">
      <c r="A29" s="5" t="inlineStr">
        <is>
          <t>TC-F02-008</t>
        </is>
      </c>
      <c r="B29" s="5" t="inlineStr">
        <is>
          <t>F</t>
        </is>
      </c>
      <c r="C29" s="9" t="inlineStr">
        <is>
          <t>库存同步一致性</t>
        </is>
      </c>
      <c r="D29" s="9" t="inlineStr">
        <is>
          <t>乱序：先收发货回传后收支付成功</t>
        </is>
      </c>
      <c r="E29" s="5" t="inlineStr">
        <is>
          <t>P1</t>
        </is>
      </c>
      <c r="F29" s="9" t="inlineStr">
        <is>
          <t>订单待支付；模拟WMS先推送发货回传</t>
        </is>
      </c>
      <c r="G29" s="9" t="inlineStr">
        <is>
          <t>1.先推发货回传；2.再推支付成功回调；3.查询订单状态与库存</t>
        </is>
      </c>
      <c r="H29" s="9" t="inlineStr">
        <is>
          <t>发货回传按状态机拒绝或缓存待处理；支付成功后订单正常流转，无状态错乱</t>
        </is>
      </c>
      <c r="I29" s="5" t="inlineStr">
        <is>
          <t>未执行</t>
        </is>
      </c>
      <c r="J29" s="9" t="inlineStr"/>
    </row>
    <row r="30">
      <c r="A30" s="5" t="inlineStr">
        <is>
          <t>TC-F02-009</t>
        </is>
      </c>
      <c r="B30" s="5" t="inlineStr">
        <is>
          <t>F</t>
        </is>
      </c>
      <c r="C30" s="9" t="inlineStr">
        <is>
          <t>库存同步一致性</t>
        </is>
      </c>
      <c r="D30" s="9" t="inlineStr">
        <is>
          <t>乱序：回补消息先于扣减到达</t>
        </is>
      </c>
      <c r="E30" s="5" t="inlineStr">
        <is>
          <t>P1</t>
        </is>
      </c>
      <c r="F30" s="9" t="inlineStr">
        <is>
          <t>模拟消息队列乱序：回补先于扣减被消费</t>
        </is>
      </c>
      <c r="G30" s="9" t="inlineStr">
        <is>
          <t>1.按乱序投递两条消息；2.查询库存三态与守恒式</t>
        </is>
      </c>
      <c r="H30" s="9" t="inlineStr">
        <is>
          <t>最终库存与正确顺序处理结果一致；守恒式不破坏；乱序消息被版本号/时间戳纠正</t>
        </is>
      </c>
      <c r="I30" s="5" t="inlineStr">
        <is>
          <t>未执行</t>
        </is>
      </c>
      <c r="J30" s="9" t="inlineStr"/>
    </row>
    <row r="31">
      <c r="A31" s="5" t="inlineStr">
        <is>
          <t>TC-F02-010</t>
        </is>
      </c>
      <c r="B31" s="5" t="inlineStr">
        <is>
          <t>F</t>
        </is>
      </c>
      <c r="C31" s="9" t="inlineStr">
        <is>
          <t>库存同步一致性</t>
        </is>
      </c>
      <c r="D31" s="9" t="inlineStr">
        <is>
          <t>消息版本号/时间戳排序消费</t>
        </is>
      </c>
      <c r="E31" s="5" t="inlineStr">
        <is>
          <t>P2</t>
        </is>
      </c>
      <c r="F31" s="9" t="inlineStr">
        <is>
          <t>构造携带相同订单不同时间戳的消息序列</t>
        </is>
      </c>
      <c r="G31" s="9" t="inlineStr">
        <is>
          <t>1.乱序投递；2.观察消费者排序行为</t>
        </is>
      </c>
      <c r="H31" s="9" t="inlineStr">
        <is>
          <t>消息按版本号/时间戳排序消费，旧版本消息被丢弃或忽略</t>
        </is>
      </c>
      <c r="I31" s="5" t="inlineStr">
        <is>
          <t>未执行</t>
        </is>
      </c>
      <c r="J31" s="9" t="inlineStr"/>
    </row>
    <row r="32">
      <c r="A32" s="5" t="inlineStr">
        <is>
          <t>TC-F03-001</t>
        </is>
      </c>
      <c r="B32" s="5" t="inlineStr">
        <is>
          <t>F</t>
        </is>
      </c>
      <c r="C32" s="9" t="inlineStr">
        <is>
          <t>边界场景</t>
        </is>
      </c>
      <c r="D32" s="9" t="inlineStr">
        <is>
          <t>零库存商品禁止下单</t>
        </is>
      </c>
      <c r="E32" s="5" t="inlineStr">
        <is>
          <t>P0</t>
        </is>
      </c>
      <c r="F32" s="9" t="inlineStr">
        <is>
          <t>SKU-C 可用库存为0</t>
        </is>
      </c>
      <c r="G32" s="9" t="inlineStr">
        <is>
          <t>1.尝试下单SKU-C</t>
        </is>
      </c>
      <c r="H32" s="9" t="inlineStr">
        <is>
          <t>下单被拒返回库存不足；商品详情展示无货</t>
        </is>
      </c>
      <c r="I32" s="5" t="inlineStr">
        <is>
          <t>未执行</t>
        </is>
      </c>
      <c r="J32" s="9" t="inlineStr"/>
    </row>
    <row r="33">
      <c r="A33" s="5" t="inlineStr">
        <is>
          <t>TC-F03-002</t>
        </is>
      </c>
      <c r="B33" s="5" t="inlineStr">
        <is>
          <t>F</t>
        </is>
      </c>
      <c r="C33" s="9" t="inlineStr">
        <is>
          <t>边界场景</t>
        </is>
      </c>
      <c r="D33" s="9" t="inlineStr">
        <is>
          <t>预占后库存恰好归0临界校验</t>
        </is>
      </c>
      <c r="E33" s="5" t="inlineStr">
        <is>
          <t>P0</t>
        </is>
      </c>
      <c r="F33" s="9" t="inlineStr">
        <is>
          <t>SKU-D 可用库存为1</t>
        </is>
      </c>
      <c r="G33" s="9" t="inlineStr">
        <is>
          <t>1.两个用户同时下单SKU-D；2.查询库存与订单</t>
        </is>
      </c>
      <c r="H33" s="9" t="inlineStr">
        <is>
          <t>仅1个订单预占成功；可用=0、预占=1；另一单返回库存不足；不超卖</t>
        </is>
      </c>
      <c r="I33" s="5" t="inlineStr">
        <is>
          <t>未执行</t>
        </is>
      </c>
      <c r="J33" s="9" t="inlineStr"/>
    </row>
    <row r="34">
      <c r="A34" s="5" t="inlineStr">
        <is>
          <t>TC-F03-003</t>
        </is>
      </c>
      <c r="B34" s="5" t="inlineStr">
        <is>
          <t>F</t>
        </is>
      </c>
      <c r="C34" s="9" t="inlineStr">
        <is>
          <t>边界场景</t>
        </is>
      </c>
      <c r="D34" s="9" t="inlineStr">
        <is>
          <t>秒杀高并发不超卖不少卖</t>
        </is>
      </c>
      <c r="E34" s="5" t="inlineStr">
        <is>
          <t>P0</t>
        </is>
      </c>
      <c r="F34" s="9" t="inlineStr">
        <is>
          <t>秒杀SKU库存10件；压测工具就绪</t>
        </is>
      </c>
      <c r="G34" s="9" t="inlineStr">
        <is>
          <t>1.1000并发发起抢购；2.统计成功订单数与库存</t>
        </is>
      </c>
      <c r="H34" s="9" t="inlineStr">
        <is>
          <t>成功订单恰好10个；已售=10、可用=0；无死锁、无重复扣减、系统无5xx</t>
        </is>
      </c>
      <c r="I34" s="5" t="inlineStr">
        <is>
          <t>未执行</t>
        </is>
      </c>
      <c r="J34" s="9" t="inlineStr"/>
    </row>
    <row r="35">
      <c r="A35" s="5" t="inlineStr">
        <is>
          <t>TC-F03-004</t>
        </is>
      </c>
      <c r="B35" s="5" t="inlineStr">
        <is>
          <t>F</t>
        </is>
      </c>
      <c r="C35" s="9" t="inlineStr">
        <is>
          <t>边界场景</t>
        </is>
      </c>
      <c r="D35" s="9" t="inlineStr">
        <is>
          <t>多仓拆单部分发货状态正确</t>
        </is>
      </c>
      <c r="E35" s="5" t="inlineStr">
        <is>
          <t>P1</t>
        </is>
      </c>
      <c r="F35" s="9" t="inlineStr">
        <is>
          <t>订单含2个SKU分属不同仓库</t>
        </is>
      </c>
      <c r="G35" s="9" t="inlineStr">
        <is>
          <t>1.完成支付；2.仓库A先推送发货回传</t>
        </is>
      </c>
      <c r="H35" s="9" t="inlineStr">
        <is>
          <t>订单进入部分发货状态；子包裹状态独立维护；两仓均回传后订单变更为已发货</t>
        </is>
      </c>
      <c r="I35" s="5" t="inlineStr">
        <is>
          <t>未执行</t>
        </is>
      </c>
      <c r="J35" s="9" t="inlineStr"/>
    </row>
    <row r="36">
      <c r="A36" s="5" t="inlineStr">
        <is>
          <t>TC-F03-005</t>
        </is>
      </c>
      <c r="B36" s="5" t="inlineStr">
        <is>
          <t>F</t>
        </is>
      </c>
      <c r="C36" s="9" t="inlineStr">
        <is>
          <t>边界场景</t>
        </is>
      </c>
      <c r="D36" s="9" t="inlineStr">
        <is>
          <t>部分签收状态正确</t>
        </is>
      </c>
      <c r="E36" s="5" t="inlineStr">
        <is>
          <t>P1</t>
        </is>
      </c>
      <c r="F36" s="9" t="inlineStr">
        <is>
          <t>拆单订单包裹1已签收、包裹2在途</t>
        </is>
      </c>
      <c r="G36" s="9" t="inlineStr">
        <is>
          <t>1.推送包裹1签收回调</t>
        </is>
      </c>
      <c r="H36" s="9" t="inlineStr">
        <is>
          <t>订单保持部分签收状态；全部包裹签收后才变更为已完成</t>
        </is>
      </c>
      <c r="I36" s="5" t="inlineStr">
        <is>
          <t>未执行</t>
        </is>
      </c>
      <c r="J36" s="9" t="inlineStr"/>
    </row>
    <row r="37">
      <c r="A37" s="5" t="inlineStr">
        <is>
          <t>TC-F03-006</t>
        </is>
      </c>
      <c r="B37" s="5" t="inlineStr">
        <is>
          <t>F</t>
        </is>
      </c>
      <c r="C37" s="9" t="inlineStr">
        <is>
          <t>边界场景</t>
        </is>
      </c>
      <c r="D37" s="9" t="inlineStr">
        <is>
          <t>退货入库后可用库存恢复</t>
        </is>
      </c>
      <c r="E37" s="5" t="inlineStr">
        <is>
          <t>P1</t>
        </is>
      </c>
      <c r="F37" s="9" t="inlineStr">
        <is>
          <t>退货单已审核、商品完好</t>
        </is>
      </c>
      <c r="G37" s="9" t="inlineStr">
        <is>
          <t>1.WMS推送退货入库回传；2.查询库存</t>
        </is>
      </c>
      <c r="H37" s="9" t="inlineStr">
        <is>
          <t>可用库存+1；守恒式成立</t>
        </is>
      </c>
      <c r="I37" s="5" t="inlineStr">
        <is>
          <t>未执行</t>
        </is>
      </c>
      <c r="J37" s="9" t="inlineStr"/>
    </row>
    <row r="38">
      <c r="A38" s="5" t="inlineStr">
        <is>
          <t>TC-F03-007</t>
        </is>
      </c>
      <c r="B38" s="5" t="inlineStr">
        <is>
          <t>F</t>
        </is>
      </c>
      <c r="C38" s="9" t="inlineStr">
        <is>
          <t>边界场景</t>
        </is>
      </c>
      <c r="D38" s="9" t="inlineStr">
        <is>
          <t>残次品退货不回补可售库存</t>
        </is>
      </c>
      <c r="E38" s="5" t="inlineStr">
        <is>
          <t>P2</t>
        </is>
      </c>
      <c r="F38" s="9" t="inlineStr">
        <is>
          <t>退货单标记为残次品</t>
        </is>
      </c>
      <c r="G38" s="9" t="inlineStr">
        <is>
          <t>1.WMS推送残次品入库回传</t>
        </is>
      </c>
      <c r="H38" s="9" t="inlineStr">
        <is>
          <t>可售可用库存不变；残次品库存渠道单独记录</t>
        </is>
      </c>
      <c r="I38" s="5" t="inlineStr">
        <is>
          <t>未执行</t>
        </is>
      </c>
      <c r="J38" s="9" t="inlineStr"/>
    </row>
    <row r="39">
      <c r="A39" s="5" t="inlineStr">
        <is>
          <t>TC-F04-001</t>
        </is>
      </c>
      <c r="B39" s="5" t="inlineStr">
        <is>
          <t>F</t>
        </is>
      </c>
      <c r="C39" s="9" t="inlineStr">
        <is>
          <t>关键API校验</t>
        </is>
      </c>
      <c r="D39" s="9" t="inlineStr">
        <is>
          <t>下单接口必填字段缺失返回参数错误</t>
        </is>
      </c>
      <c r="E39" s="5" t="inlineStr">
        <is>
          <t>P1</t>
        </is>
      </c>
      <c r="F39" s="9" t="inlineStr">
        <is>
          <t>下单接口文档就绪</t>
        </is>
      </c>
      <c r="G39" s="9" t="inlineStr">
        <is>
          <t>1.分别缺失SKU ID/数量/地址等必填字段调用下单接口</t>
        </is>
      </c>
      <c r="H39" s="9" t="inlineStr">
        <is>
          <t>返回独立参数错误码与字段提示；不产生订单与库存变更</t>
        </is>
      </c>
      <c r="I39" s="5" t="inlineStr">
        <is>
          <t>未执行</t>
        </is>
      </c>
      <c r="J39" s="9" t="inlineStr"/>
    </row>
    <row r="40">
      <c r="A40" s="5" t="inlineStr">
        <is>
          <t>TC-F04-002</t>
        </is>
      </c>
      <c r="B40" s="5" t="inlineStr">
        <is>
          <t>F</t>
        </is>
      </c>
      <c r="C40" s="9" t="inlineStr">
        <is>
          <t>关键API校验</t>
        </is>
      </c>
      <c r="D40" s="9" t="inlineStr">
        <is>
          <t>字段类型/长度非法校验</t>
        </is>
      </c>
      <c r="E40" s="5" t="inlineStr">
        <is>
          <t>P1</t>
        </is>
      </c>
      <c r="F40" s="9" t="inlineStr">
        <is>
          <t>下单接口文档就绪</t>
        </is>
      </c>
      <c r="G40" s="9" t="inlineStr">
        <is>
          <t>1.数量传负数/0/超大值；2.字符串超长；3.类型错误</t>
        </is>
      </c>
      <c r="H40" s="9" t="inlineStr">
        <is>
          <t>均返回参数校验错误码；服务不抛500</t>
        </is>
      </c>
      <c r="I40" s="5" t="inlineStr">
        <is>
          <t>未执行</t>
        </is>
      </c>
      <c r="J40" s="9" t="inlineStr"/>
    </row>
    <row r="41">
      <c r="A41" s="5" t="inlineStr">
        <is>
          <t>TC-F04-003</t>
        </is>
      </c>
      <c r="B41" s="5" t="inlineStr">
        <is>
          <t>F</t>
        </is>
      </c>
      <c r="C41" s="9" t="inlineStr">
        <is>
          <t>关键API校验</t>
        </is>
      </c>
      <c r="D41" s="9" t="inlineStr">
        <is>
          <t>错误码体系独立可区分</t>
        </is>
      </c>
      <c r="E41" s="5" t="inlineStr">
        <is>
          <t>P1</t>
        </is>
      </c>
      <c r="F41" s="9" t="inlineStr">
        <is>
          <t>接口文档错误码清单就绪</t>
        </is>
      </c>
      <c r="G41" s="9" t="inlineStr">
        <is>
          <t>1.分别构造库存不足/状态冲突/系统异常场景</t>
        </is>
      </c>
      <c r="H41" s="9" t="inlineStr">
        <is>
          <t>三类场景返回各自独立错误码，文案准确，可据此区分处理</t>
        </is>
      </c>
      <c r="I41" s="5" t="inlineStr">
        <is>
          <t>未执行</t>
        </is>
      </c>
      <c r="J41" s="9" t="inlineStr"/>
    </row>
    <row r="42">
      <c r="A42" s="5" t="inlineStr">
        <is>
          <t>TC-F04-004</t>
        </is>
      </c>
      <c r="B42" s="5" t="inlineStr">
        <is>
          <t>F</t>
        </is>
      </c>
      <c r="C42" s="9" t="inlineStr">
        <is>
          <t>关键API校验</t>
        </is>
      </c>
      <c r="D42" s="9" t="inlineStr">
        <is>
          <t>发货回调验签失败拒绝处理</t>
        </is>
      </c>
      <c r="E42" s="5" t="inlineStr">
        <is>
          <t>P0</t>
        </is>
      </c>
      <c r="F42" s="9" t="inlineStr">
        <is>
          <t>获取正确/错误签名样例</t>
        </is>
      </c>
      <c r="G42" s="9" t="inlineStr">
        <is>
          <t>1.用错误签名推送发货回调</t>
        </is>
      </c>
      <c r="H42" s="9" t="inlineStr">
        <is>
          <t>回调被拒绝返回验签失败；订单状态不变；记录安全日志</t>
        </is>
      </c>
      <c r="I42" s="5" t="inlineStr">
        <is>
          <t>未执行</t>
        </is>
      </c>
      <c r="J42" s="9" t="inlineStr"/>
    </row>
    <row r="43">
      <c r="A43" s="5" t="inlineStr">
        <is>
          <t>TC-F04-005</t>
        </is>
      </c>
      <c r="B43" s="5" t="inlineStr">
        <is>
          <t>F</t>
        </is>
      </c>
      <c r="C43" s="9" t="inlineStr">
        <is>
          <t>关键API校验</t>
        </is>
      </c>
      <c r="D43" s="9" t="inlineStr">
        <is>
          <t>回调ACK机制：未ACK将重发</t>
        </is>
      </c>
      <c r="E43" s="5" t="inlineStr">
        <is>
          <t>P1</t>
        </is>
      </c>
      <c r="F43" s="9" t="inlineStr">
        <is>
          <t>模拟商城端处理回调超时不返回ACK</t>
        </is>
      </c>
      <c r="G43" s="9" t="inlineStr">
        <is>
          <t>1.WMS推送回调且商城不ACK；2.观察WMS重试行为</t>
        </is>
      </c>
      <c r="H43" s="9" t="inlineStr">
        <is>
          <t>WMS按约定间隔重发；商城处理成功后ACK，停止重发；不产生重复业务影响</t>
        </is>
      </c>
      <c r="I43" s="5" t="inlineStr">
        <is>
          <t>未执行</t>
        </is>
      </c>
      <c r="J43" s="9" t="inlineStr"/>
    </row>
    <row r="44">
      <c r="A44" s="5" t="inlineStr">
        <is>
          <t>TC-F04-006</t>
        </is>
      </c>
      <c r="B44" s="5" t="inlineStr">
        <is>
          <t>F</t>
        </is>
      </c>
      <c r="C44" s="9" t="inlineStr">
        <is>
          <t>关键API校验</t>
        </is>
      </c>
      <c r="D44" s="9" t="inlineStr">
        <is>
          <t>接口SQL/脚本注入防护</t>
        </is>
      </c>
      <c r="E44" s="5" t="inlineStr">
        <is>
          <t>P1</t>
        </is>
      </c>
      <c r="F44" s="9" t="inlineStr">
        <is>
          <t>下单与查询接口就绪</t>
        </is>
      </c>
      <c r="G44" s="9" t="inlineStr">
        <is>
          <t>1.在SKU ID/地址等字段注入SQL与脚本片段</t>
        </is>
      </c>
      <c r="H44" s="9" t="inlineStr">
        <is>
          <t>注入内容被过滤或转义；无数据泄露、无异常执行</t>
        </is>
      </c>
      <c r="I44" s="5" t="inlineStr">
        <is>
          <t>未执行</t>
        </is>
      </c>
      <c r="J44" s="9" t="inlineStr"/>
    </row>
    <row r="45">
      <c r="A45" s="5" t="inlineStr">
        <is>
          <t>TC-Q01-001</t>
        </is>
      </c>
      <c r="B45" s="5" t="inlineStr">
        <is>
          <t>Q</t>
        </is>
      </c>
      <c r="C45" s="9" t="inlineStr">
        <is>
          <t>性能</t>
        </is>
      </c>
      <c r="D45" s="9" t="inlineStr">
        <is>
          <t>下单链路500 TPS负载测试</t>
        </is>
      </c>
      <c r="E45" s="5" t="inlineStr">
        <is>
          <t>P0</t>
        </is>
      </c>
      <c r="F45" s="9" t="inlineStr">
        <is>
          <t>压测环境与生产等比配置</t>
        </is>
      </c>
      <c r="G45" s="9" t="inlineStr">
        <is>
          <t>1.以500 TPS持续压测下单链路30分钟；2.收集TPS/RT/错误率</t>
        </is>
      </c>
      <c r="H45" s="9" t="inlineStr">
        <is>
          <t>TPS稳定达成500；P99&lt;500ms；错误率&lt;0.1%</t>
        </is>
      </c>
      <c r="I45" s="5" t="inlineStr">
        <is>
          <t>未执行</t>
        </is>
      </c>
      <c r="J45" s="9" t="inlineStr"/>
    </row>
    <row r="46">
      <c r="A46" s="5" t="inlineStr">
        <is>
          <t>TC-Q01-002</t>
        </is>
      </c>
      <c r="B46" s="5" t="inlineStr">
        <is>
          <t>Q</t>
        </is>
      </c>
      <c r="C46" s="9" t="inlineStr">
        <is>
          <t>性能</t>
        </is>
      </c>
      <c r="D46" s="9" t="inlineStr">
        <is>
          <t>秒杀峰值5000 QPS压测</t>
        </is>
      </c>
      <c r="E46" s="5" t="inlineStr">
        <is>
          <t>P0</t>
        </is>
      </c>
      <c r="F46" s="9" t="inlineStr">
        <is>
          <t>秒杀活动配置10件库存</t>
        </is>
      </c>
      <c r="G46" s="9" t="inlineStr">
        <is>
          <t>1.以5000 QPS峰值压测秒杀接口</t>
        </is>
      </c>
      <c r="H46" s="9" t="inlineStr">
        <is>
          <t>系统不崩溃；不超卖不少卖；库存接口P99&lt;100ms</t>
        </is>
      </c>
      <c r="I46" s="5" t="inlineStr">
        <is>
          <t>未执行</t>
        </is>
      </c>
      <c r="J46" s="9" t="inlineStr"/>
    </row>
    <row r="47">
      <c r="A47" s="5" t="inlineStr">
        <is>
          <t>TC-Q01-003</t>
        </is>
      </c>
      <c r="B47" s="5" t="inlineStr">
        <is>
          <t>Q</t>
        </is>
      </c>
      <c r="C47" s="9" t="inlineStr">
        <is>
          <t>性能</t>
        </is>
      </c>
      <c r="D47" s="9" t="inlineStr">
        <is>
          <t>核心接口延迟指标达标</t>
        </is>
      </c>
      <c r="E47" s="5" t="inlineStr">
        <is>
          <t>P1</t>
        </is>
      </c>
      <c r="F47" s="9" t="inlineStr">
        <is>
          <t>常规负载（100 TPS）环境</t>
        </is>
      </c>
      <c r="G47" s="9" t="inlineStr">
        <is>
          <t>1.压测下单与库存查询接口各10分钟</t>
        </is>
      </c>
      <c r="H47" s="9" t="inlineStr">
        <is>
          <t>下单P99&lt;500ms；库存查询P99&lt;100ms</t>
        </is>
      </c>
      <c r="I47" s="5" t="inlineStr">
        <is>
          <t>未执行</t>
        </is>
      </c>
      <c r="J47" s="9" t="inlineStr"/>
    </row>
    <row r="48">
      <c r="A48" s="5" t="inlineStr">
        <is>
          <t>TC-Q01-004</t>
        </is>
      </c>
      <c r="B48" s="5" t="inlineStr">
        <is>
          <t>Q</t>
        </is>
      </c>
      <c r="C48" s="9" t="inlineStr">
        <is>
          <t>性能</t>
        </is>
      </c>
      <c r="D48" s="9" t="inlineStr">
        <is>
          <t>峰值负载15分钟无劣化</t>
        </is>
      </c>
      <c r="E48" s="5" t="inlineStr">
        <is>
          <t>P1</t>
        </is>
      </c>
      <c r="F48" s="9" t="inlineStr">
        <is>
          <t>以目标峰值负载运行</t>
        </is>
      </c>
      <c r="G48" s="9" t="inlineStr">
        <is>
          <t>1.持续15分钟峰值压测；2.对比前后5分钟TPS与RT</t>
        </is>
      </c>
      <c r="H48" s="9" t="inlineStr">
        <is>
          <t>TPS无衰减、RT无持续上升、无内存泄漏与连接池耗尽</t>
        </is>
      </c>
      <c r="I48" s="5" t="inlineStr">
        <is>
          <t>未执行</t>
        </is>
      </c>
      <c r="J48" s="9" t="inlineStr"/>
    </row>
    <row r="49">
      <c r="A49" s="5" t="inlineStr">
        <is>
          <t>TC-Q02-001</t>
        </is>
      </c>
      <c r="B49" s="5" t="inlineStr">
        <is>
          <t>Q</t>
        </is>
      </c>
      <c r="C49" s="9" t="inlineStr">
        <is>
          <t>可靠性</t>
        </is>
      </c>
      <c r="D49" s="9" t="inlineStr">
        <is>
          <t>WMS调用失败指数退避重试3次</t>
        </is>
      </c>
      <c r="E49" s="5" t="inlineStr">
        <is>
          <t>P0</t>
        </is>
      </c>
      <c r="F49" s="9" t="inlineStr">
        <is>
          <t>模拟WMS接口连续失败</t>
        </is>
      </c>
      <c r="G49" s="9" t="inlineStr">
        <is>
          <t>1.触发预占调用；2.观察重试日志与最终结果</t>
        </is>
      </c>
      <c r="H49" s="9" t="inlineStr">
        <is>
          <t>按指数退避重试3次（如1s/2s/4s）；3次后失败进入补偿队列并告警</t>
        </is>
      </c>
      <c r="I49" s="5" t="inlineStr">
        <is>
          <t>未执行</t>
        </is>
      </c>
      <c r="J49" s="9" t="inlineStr"/>
    </row>
    <row r="50">
      <c r="A50" s="5" t="inlineStr">
        <is>
          <t>TC-Q02-002</t>
        </is>
      </c>
      <c r="B50" s="5" t="inlineStr">
        <is>
          <t>Q</t>
        </is>
      </c>
      <c r="C50" s="9" t="inlineStr">
        <is>
          <t>可靠性</t>
        </is>
      </c>
      <c r="D50" s="9" t="inlineStr">
        <is>
          <t>预占失败率超阈值触发熔断</t>
        </is>
      </c>
      <c r="E50" s="5" t="inlineStr">
        <is>
          <t>P1</t>
        </is>
      </c>
      <c r="F50" s="9" t="inlineStr">
        <is>
          <t>模拟WMS失败率持续&gt;50%</t>
        </is>
      </c>
      <c r="G50" s="9" t="inlineStr">
        <is>
          <t>1.持续注入失败；2.观察熔断器状态与降级行为</t>
        </is>
      </c>
      <c r="H50" s="9" t="inlineStr">
        <is>
          <t>熔断打开，请求快速失败不再阻塞；半开恢复后自动闭合</t>
        </is>
      </c>
      <c r="I50" s="5" t="inlineStr">
        <is>
          <t>未执行</t>
        </is>
      </c>
      <c r="J50" s="9" t="inlineStr"/>
    </row>
    <row r="51">
      <c r="A51" s="5" t="inlineStr">
        <is>
          <t>TC-Q02-003</t>
        </is>
      </c>
      <c r="B51" s="5" t="inlineStr">
        <is>
          <t>Q</t>
        </is>
      </c>
      <c r="C51" s="9" t="inlineStr">
        <is>
          <t>可靠性</t>
        </is>
      </c>
      <c r="D51" s="9" t="inlineStr">
        <is>
          <t>WMS不可用降级本地预占</t>
        </is>
      </c>
      <c r="E51" s="5" t="inlineStr">
        <is>
          <t>P1</t>
        </is>
      </c>
      <c r="F51" s="9" t="inlineStr">
        <is>
          <t>模拟WMS完全宕机</t>
        </is>
      </c>
      <c r="G51" s="9" t="inlineStr">
        <is>
          <t>1.发起下单；2.观察降级与恢复</t>
        </is>
      </c>
      <c r="H51" s="9" t="inlineStr">
        <is>
          <t>商城本地预占成功保证可下单；WMS恢复后异步补偿同步库存，差异对平</t>
        </is>
      </c>
      <c r="I51" s="5" t="inlineStr">
        <is>
          <t>未执行</t>
        </is>
      </c>
      <c r="J51" s="9" t="inlineStr"/>
    </row>
    <row r="52">
      <c r="A52" s="5" t="inlineStr">
        <is>
          <t>TC-Q02-004</t>
        </is>
      </c>
      <c r="B52" s="5" t="inlineStr">
        <is>
          <t>Q</t>
        </is>
      </c>
      <c r="C52" s="9" t="inlineStr">
        <is>
          <t>可靠性</t>
        </is>
      </c>
      <c r="D52" s="9" t="inlineStr">
        <is>
          <t>卡单扫描：超时关单并回补</t>
        </is>
      </c>
      <c r="E52" s="5" t="inlineStr">
        <is>
          <t>P0</t>
        </is>
      </c>
      <c r="F52" s="9" t="inlineStr">
        <is>
          <t>构造多条待支付超时卡单</t>
        </is>
      </c>
      <c r="G52" s="9" t="inlineStr">
        <is>
          <t>1.触发卡单扫描任务；2.检查订单与库存</t>
        </is>
      </c>
      <c r="H52" s="9" t="inlineStr">
        <is>
          <t>超时订单自动关闭；预占库存全部回补；任务执行日志与统计可查</t>
        </is>
      </c>
      <c r="I52" s="5" t="inlineStr">
        <is>
          <t>未执行</t>
        </is>
      </c>
      <c r="J52" s="9" t="inlineStr"/>
    </row>
    <row r="53">
      <c r="A53" s="5" t="inlineStr">
        <is>
          <t>TC-Q02-005</t>
        </is>
      </c>
      <c r="B53" s="5" t="inlineStr">
        <is>
          <t>Q</t>
        </is>
      </c>
      <c r="C53" s="9" t="inlineStr">
        <is>
          <t>可靠性</t>
        </is>
      </c>
      <c r="D53" s="9" t="inlineStr">
        <is>
          <t>失败消息入死信队列并告警</t>
        </is>
      </c>
      <c r="E53" s="5" t="inlineStr">
        <is>
          <t>P1</t>
        </is>
      </c>
      <c r="F53" s="9" t="inlineStr">
        <is>
          <t>模拟消息消费连续失败</t>
        </is>
      </c>
      <c r="G53" s="9" t="inlineStr">
        <is>
          <t>1.注入毒消息；2.观察死信队列与告警</t>
        </is>
      </c>
      <c r="H53" s="9" t="inlineStr">
        <is>
          <t>消息重试耗尽后进入死信队列；触发告警；支持人工重投</t>
        </is>
      </c>
      <c r="I53" s="5" t="inlineStr">
        <is>
          <t>未执行</t>
        </is>
      </c>
      <c r="J53" s="9" t="inlineStr"/>
    </row>
    <row r="54">
      <c r="A54" s="5" t="inlineStr">
        <is>
          <t>TC-Q03-001</t>
        </is>
      </c>
      <c r="B54" s="5" t="inlineStr">
        <is>
          <t>Q</t>
        </is>
      </c>
      <c r="C54" s="9" t="inlineStr">
        <is>
          <t>可观测性</t>
        </is>
      </c>
      <c r="D54" s="9" t="inlineStr">
        <is>
          <t>全链路traceId贯通</t>
        </is>
      </c>
      <c r="E54" s="5" t="inlineStr">
        <is>
          <t>P1</t>
        </is>
      </c>
      <c r="F54" s="9" t="inlineStr">
        <is>
          <t>完成一笔完整订单</t>
        </is>
      </c>
      <c r="G54" s="9" t="inlineStr">
        <is>
          <t>1.下单→支付→发货→签收；2.按traceId检索日志</t>
        </is>
      </c>
      <c r="H54" s="9" t="inlineStr">
        <is>
          <t>同一traceId贯通商城/订单/WMS全部日志，可还原完整调用链</t>
        </is>
      </c>
      <c r="I54" s="5" t="inlineStr">
        <is>
          <t>未执行</t>
        </is>
      </c>
      <c r="J54" s="9" t="inlineStr"/>
    </row>
    <row r="55">
      <c r="A55" s="5" t="inlineStr">
        <is>
          <t>TC-Q03-002</t>
        </is>
      </c>
      <c r="B55" s="5" t="inlineStr">
        <is>
          <t>Q</t>
        </is>
      </c>
      <c r="C55" s="9" t="inlineStr">
        <is>
          <t>可观测性</t>
        </is>
      </c>
      <c r="D55" s="9" t="inlineStr">
        <is>
          <t>库存差异率超阈值告警</t>
        </is>
      </c>
      <c r="E55" s="5" t="inlineStr">
        <is>
          <t>P1</t>
        </is>
      </c>
      <c r="F55" s="9" t="inlineStr">
        <is>
          <t>监控告警配置完成</t>
        </is>
      </c>
      <c r="G55" s="9" t="inlineStr">
        <is>
          <t>1.构造商城与WMS库存差异&gt;0.01%；2.观察监控与告警</t>
        </is>
      </c>
      <c r="H55" s="9" t="inlineStr">
        <is>
          <t>差异率指标上报准确；触发告警通知到值班渠道</t>
        </is>
      </c>
      <c r="I55" s="5" t="inlineStr">
        <is>
          <t>未执行</t>
        </is>
      </c>
      <c r="J55" s="9" t="inlineStr"/>
    </row>
    <row r="56">
      <c r="A56" s="5" t="inlineStr">
        <is>
          <t>TC-Q03-003</t>
        </is>
      </c>
      <c r="B56" s="5" t="inlineStr">
        <is>
          <t>Q</t>
        </is>
      </c>
      <c r="C56" s="9" t="inlineStr">
        <is>
          <t>可观测性</t>
        </is>
      </c>
      <c r="D56" s="9" t="inlineStr">
        <is>
          <t>消息堆积与卡单告警</t>
        </is>
      </c>
      <c r="E56" s="5" t="inlineStr">
        <is>
          <t>P1</t>
        </is>
      </c>
      <c r="F56" s="9" t="inlineStr">
        <is>
          <t>监控告警配置完成</t>
        </is>
      </c>
      <c r="G56" s="9" t="inlineStr">
        <is>
          <t>1.构造消息堆积&gt;1000、卡单&gt;10；2.观察告警</t>
        </is>
      </c>
      <c r="H56" s="9" t="inlineStr">
        <is>
          <t>分别触发对应告警，阈值与文档一致</t>
        </is>
      </c>
      <c r="I56" s="5" t="inlineStr">
        <is>
          <t>未执行</t>
        </is>
      </c>
      <c r="J56" s="9" t="inlineStr"/>
    </row>
    <row r="57">
      <c r="A57" s="5" t="inlineStr">
        <is>
          <t>TC-Q04-001</t>
        </is>
      </c>
      <c r="B57" s="5" t="inlineStr">
        <is>
          <t>Q</t>
        </is>
      </c>
      <c r="C57" s="9" t="inlineStr">
        <is>
          <t>安全性</t>
        </is>
      </c>
      <c r="D57" s="9" t="inlineStr">
        <is>
          <t>无token/伪造签名请求被拒</t>
        </is>
      </c>
      <c r="E57" s="5" t="inlineStr">
        <is>
          <t>P0</t>
        </is>
      </c>
      <c r="F57" s="9" t="inlineStr">
        <is>
          <t>接口鉴权已启用</t>
        </is>
      </c>
      <c r="G57" s="9" t="inlineStr">
        <is>
          <t>1.不带token调用下单接口；2.伪造签名推送回调</t>
        </is>
      </c>
      <c r="H57" s="9" t="inlineStr">
        <is>
          <t>均返回401/验签失败；无业务处理；记录安全日志</t>
        </is>
      </c>
      <c r="I57" s="5" t="inlineStr">
        <is>
          <t>未执行</t>
        </is>
      </c>
      <c r="J57" s="9" t="inlineStr"/>
    </row>
    <row r="58">
      <c r="A58" s="5" t="inlineStr">
        <is>
          <t>TC-Q04-002</t>
        </is>
      </c>
      <c r="B58" s="5" t="inlineStr">
        <is>
          <t>Q</t>
        </is>
      </c>
      <c r="C58" s="9" t="inlineStr">
        <is>
          <t>安全性</t>
        </is>
      </c>
      <c r="D58" s="9" t="inlineStr">
        <is>
          <t>越权操作他人订单返回403</t>
        </is>
      </c>
      <c r="E58" s="5" t="inlineStr">
        <is>
          <t>P0</t>
        </is>
      </c>
      <c r="F58" s="9" t="inlineStr">
        <is>
          <t>准备用户A与用户B的订单</t>
        </is>
      </c>
      <c r="G58" s="9" t="inlineStr">
        <is>
          <t>1.用户B的token请求取消/查询用户A订单</t>
        </is>
      </c>
      <c r="H58" s="9" t="inlineStr">
        <is>
          <t>返回403越权拒绝；订单数据无变化</t>
        </is>
      </c>
      <c r="I58" s="5" t="inlineStr">
        <is>
          <t>未执行</t>
        </is>
      </c>
      <c r="J58" s="9" t="inlineStr"/>
    </row>
    <row r="59">
      <c r="A59" s="5" t="inlineStr">
        <is>
          <t>TC-Q04-003</t>
        </is>
      </c>
      <c r="B59" s="5" t="inlineStr">
        <is>
          <t>Q</t>
        </is>
      </c>
      <c r="C59" s="9" t="inlineStr">
        <is>
          <t>安全性</t>
        </is>
      </c>
      <c r="D59" s="9" t="inlineStr">
        <is>
          <t>日志敏感数据脱敏</t>
        </is>
      </c>
      <c r="E59" s="5" t="inlineStr">
        <is>
          <t>P1</t>
        </is>
      </c>
      <c r="F59" s="9" t="inlineStr">
        <is>
          <t>完成一笔含手机号地址的订单</t>
        </is>
      </c>
      <c r="G59" s="9" t="inlineStr">
        <is>
          <t>1.检索应用日志与链路日志</t>
        </is>
      </c>
      <c r="H59" s="9" t="inlineStr">
        <is>
          <t>手机号、地址等敏感字段脱敏展示（如138****0000）；明文不出现在日志</t>
        </is>
      </c>
      <c r="I59" s="5" t="inlineStr">
        <is>
          <t>未执行</t>
        </is>
      </c>
      <c r="J59" s="9" t="inlineStr"/>
    </row>
    <row r="60">
      <c r="A60" s="5" t="inlineStr">
        <is>
          <t>TC-Q05-001</t>
        </is>
      </c>
      <c r="B60" s="5" t="inlineStr">
        <is>
          <t>Q</t>
        </is>
      </c>
      <c r="C60" s="9" t="inlineStr">
        <is>
          <t>可恢复性</t>
        </is>
      </c>
      <c r="D60" s="9" t="inlineStr">
        <is>
          <t>WMS宕机故障演练恢复</t>
        </is>
      </c>
      <c r="E60" s="5" t="inlineStr">
        <is>
          <t>P1</t>
        </is>
      </c>
      <c r="F60" s="9" t="inlineStr">
        <is>
          <t>预发布环境故障演练方案就绪</t>
        </is>
      </c>
      <c r="G60" s="9" t="inlineStr">
        <is>
          <t>1.演练中kill WMS服务10分钟；2.观察降级与恢复后同步</t>
        </is>
      </c>
      <c r="H60" s="9" t="inlineStr">
        <is>
          <t>期间下单走降级通道无失败；WMS恢复后库存/发货数据自动追平，对账无差异</t>
        </is>
      </c>
      <c r="I60" s="5" t="inlineStr">
        <is>
          <t>未执行</t>
        </is>
      </c>
      <c r="J60" s="9" t="inlineStr"/>
    </row>
    <row r="61">
      <c r="A61" s="5" t="inlineStr">
        <is>
          <t>TC-Q05-002</t>
        </is>
      </c>
      <c r="B61" s="5" t="inlineStr">
        <is>
          <t>Q</t>
        </is>
      </c>
      <c r="C61" s="9" t="inlineStr">
        <is>
          <t>可恢复性</t>
        </is>
      </c>
      <c r="D61" s="9" t="inlineStr">
        <is>
          <t>库存流水重放修复数据</t>
        </is>
      </c>
      <c r="E61" s="5" t="inlineStr">
        <is>
          <t>P1</t>
        </is>
      </c>
      <c r="F61" s="9" t="inlineStr">
        <is>
          <t>构造库存差异SKU</t>
        </is>
      </c>
      <c r="G61" s="9" t="inlineStr">
        <is>
          <t>1.基于库存变动流水执行重放修复；2.核对三态库存</t>
        </is>
      </c>
      <c r="H61" s="9" t="inlineStr">
        <is>
          <t>重放后库存与WMS对平；重放过程幂等可重复执行；修复操作留痕</t>
        </is>
      </c>
      <c r="I61" s="5" t="inlineStr">
        <is>
          <t>未执行</t>
        </is>
      </c>
      <c r="J61" s="9" t="inlineStr"/>
    </row>
  </sheetData>
  <autoFilter ref="A1:J61"/>
  <conditionalFormatting sqref="I2:I61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</conditionalFormatting>
  <conditionalFormatting sqref="E2:E61">
    <cfRule type="cellIs" priority="4" operator="equal" dxfId="3">
      <formula>"P0"</formula>
    </cfRule>
  </conditionalFormatting>
  <dataValidations count="3">
    <dataValidation sqref="E2:E61" showDropDown="0" showInputMessage="0" showErrorMessage="0" allowBlank="1" type="list">
      <formula1>"P0,P1,P2"</formula1>
    </dataValidation>
    <dataValidation sqref="B2:B61" showDropDown="0" showInputMessage="0" showErrorMessage="0" allowBlank="1" type="list">
      <formula1>"M,F,Q"</formula1>
    </dataValidation>
    <dataValidation sqref="I2:I61" showDropDown="0" showInputMessage="0" showErrorMessage="0" allowBlank="1" type="list">
      <formula1>"未执行,通过,失败,阻塞"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电商系统MFQ详细测试用例</dc:title>
  <dcterms:created xsi:type="dcterms:W3CDTF">2026-10-25T07:03:19Z</dcterms:created>
  <dcterms:modified xsi:type="dcterms:W3CDTF">2026-10-25T07:03:19Z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{"Label":"1","ContentProducer":"00119111010856365494821B355","ProduceID":"40a407fbc1af4c7993c42388a2d1c557","ContentPropagator":"00119111010856365494821B355","PropagateID":"40a407fbc1af4c7993c42388a2d1c557"}</vt:lpwstr>
  </property>
</Properties>
</file>